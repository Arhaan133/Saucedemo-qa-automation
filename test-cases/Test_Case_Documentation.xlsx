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<sst xmlns="http://schemas.openxmlformats.org/spreadsheetml/2006/main" count="244" uniqueCount="139">
  <si>
    <t xml:space="preserve">Test Case ID</t>
  </si>
  <si>
    <t xml:space="preserve">Module</t>
  </si>
  <si>
    <t xml:space="preserve">Test Scenario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</si>
  <si>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</si>
  <si>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</si>
  <si>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</si>
  <si>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</si>
  <si>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Type</t>
  </si>
  <si>
    <t xml:space="preserve">Status</t>
  </si>
  <si>
    <t xml:space="preserve">TC-001</t>
  </si>
  <si>
    <t xml:space="preserve">Login</t>
  </si>
  <si>
    <t xml:space="preserve">Verify login with valid credentials</t>
  </si>
  <si>
    <t xml:space="preserve">1. Go to saucedemo.com
2. Enter valid username/password
3. Click Login</t>
  </si>
  <si>
    <t xml:space="preserve">standard_user / secret_sauce</t>
  </si>
  <si>
    <t xml:space="preserve">User is redirected to the Products page</t>
  </si>
  <si>
    <t xml:space="preserve">High</t>
  </si>
  <si>
    <t xml:space="preserve">Positive</t>
  </si>
  <si>
    <t xml:space="preserve">Automated</t>
  </si>
  <si>
    <t xml:space="preserve">TC-002</t>
  </si>
  <si>
    <t xml:space="preserve">Verify login fails with invalid password</t>
  </si>
  <si>
    <t xml:space="preserve">1. Enter valid username, wrong password
2. Click Login</t>
  </si>
  <si>
    <t xml:space="preserve">standard_user / wrong_pass</t>
  </si>
  <si>
    <t xml:space="preserve">Error message: 'Username and password do not match'</t>
  </si>
  <si>
    <t xml:space="preserve">Negative</t>
  </si>
  <si>
    <t xml:space="preserve">TC-003</t>
  </si>
  <si>
    <t xml:space="preserve">Verify locked out user cannot log in</t>
  </si>
  <si>
    <t xml:space="preserve">1. Enter locked_out_user credentials
2. Click Login</t>
  </si>
  <si>
    <t xml:space="preserve">locked_out_user / secret_sauce</t>
  </si>
  <si>
    <t xml:space="preserve">Error message indicating user has been locked out</t>
  </si>
  <si>
    <t xml:space="preserve">TC-004</t>
  </si>
  <si>
    <t xml:space="preserve">Verify error when username is blank</t>
  </si>
  <si>
    <t xml:space="preserve">1. Leave username blank, enter password
2. Click Login</t>
  </si>
  <si>
    <t xml:space="preserve">(blank) / secret_sauce</t>
  </si>
  <si>
    <t xml:space="preserve">Error message: 'Username is required'</t>
  </si>
  <si>
    <t xml:space="preserve">Medium</t>
  </si>
  <si>
    <t xml:space="preserve">TC-005</t>
  </si>
  <si>
    <t xml:space="preserve">Verify error when password is blank</t>
  </si>
  <si>
    <t xml:space="preserve">1. Enter username, leave password blank
2. Click Login</t>
  </si>
  <si>
    <t xml:space="preserve">standard_user / (blank)</t>
  </si>
  <si>
    <t xml:space="preserve">Error message: 'Password is required'</t>
  </si>
  <si>
    <t xml:space="preserve">TC-006</t>
  </si>
  <si>
    <t xml:space="preserve">Verify error when both fields are blank</t>
  </si>
  <si>
    <t xml:space="preserve">1. Leave both fields blank
2. Click Login</t>
  </si>
  <si>
    <t xml:space="preserve">(blank) / (blank)</t>
  </si>
  <si>
    <t xml:space="preserve">Low</t>
  </si>
  <si>
    <t xml:space="preserve">TC-007</t>
  </si>
  <si>
    <t xml:space="preserve">Inventory</t>
  </si>
  <si>
    <t xml:space="preserve">Verify all products are listed on Products page</t>
  </si>
  <si>
    <t xml:space="preserve">1. Log in as standard_user
2. Observe product listing</t>
  </si>
  <si>
    <t xml:space="preserve">standard_user</t>
  </si>
  <si>
    <t xml:space="preserve">Exactly 6 products displayed</t>
  </si>
  <si>
    <t xml:space="preserve">TC-008</t>
  </si>
  <si>
    <t xml:space="preserve">Verify adding a single product updates cart badge</t>
  </si>
  <si>
    <t xml:space="preserve">1. Log in
2. Click 'Add to cart' on one item</t>
  </si>
  <si>
    <t xml:space="preserve">Sauce Labs Backpack</t>
  </si>
  <si>
    <t xml:space="preserve">Cart badge shows '1'</t>
  </si>
  <si>
    <t xml:space="preserve">TC-009</t>
  </si>
  <si>
    <t xml:space="preserve">Verify adding multiple products accumulates cart count</t>
  </si>
  <si>
    <t xml:space="preserve">1. Log in
2. Add 3 different products to cart</t>
  </si>
  <si>
    <t xml:space="preserve">3 products</t>
  </si>
  <si>
    <t xml:space="preserve">Cart badge shows '3'</t>
  </si>
  <si>
    <t xml:space="preserve">TC-010</t>
  </si>
  <si>
    <t xml:space="preserve">Verify sorting products Price (low to high)</t>
  </si>
  <si>
    <t xml:space="preserve">1. Log in
2. Select 'Price (low to high)' from sort dropdown</t>
  </si>
  <si>
    <t xml:space="preserve">N/A</t>
  </si>
  <si>
    <t xml:space="preserve">Products display in ascending price order</t>
  </si>
  <si>
    <t xml:space="preserve">TC-011</t>
  </si>
  <si>
    <t xml:space="preserve">Verify sorting products Price (high to low)</t>
  </si>
  <si>
    <t xml:space="preserve">1. Log in
2. Select 'Price (high to low)' from sort dropdown</t>
  </si>
  <si>
    <t xml:space="preserve">Products display in descending price order</t>
  </si>
  <si>
    <t xml:space="preserve">TC-012</t>
  </si>
  <si>
    <t xml:space="preserve">Verify cart icon navigates to cart page</t>
  </si>
  <si>
    <t xml:space="preserve">1. Log in
2. Add a product
3. Click cart icon</t>
  </si>
  <si>
    <t xml:space="preserve">User is navigated to the cart page (cart.html)</t>
  </si>
  <si>
    <t xml:space="preserve">TC-013</t>
  </si>
  <si>
    <t xml:space="preserve">Verify product name and price are visible per item</t>
  </si>
  <si>
    <t xml:space="preserve">1. Log in
2. Inspect each product card</t>
  </si>
  <si>
    <t xml:space="preserve">Each card shows name, description, price, and Add-to-cart button</t>
  </si>
  <si>
    <t xml:space="preserve">Manual</t>
  </si>
  <si>
    <t xml:space="preserve">TC-014</t>
  </si>
  <si>
    <t xml:space="preserve">Verify 'Remove' button replaces 'Add to cart' after adding item</t>
  </si>
  <si>
    <t xml:space="preserve">1. Log in
2. Add a product to cart</t>
  </si>
  <si>
    <t xml:space="preserve">Button label changes from 'Add to cart' to 'Remove'</t>
  </si>
  <si>
    <t xml:space="preserve">TC-015</t>
  </si>
  <si>
    <t xml:space="preserve">Cart</t>
  </si>
  <si>
    <t xml:space="preserve">Verify cart displays correct item count</t>
  </si>
  <si>
    <t xml:space="preserve">1. Add 2 products
2. Go to cart</t>
  </si>
  <si>
    <t xml:space="preserve">2 products</t>
  </si>
  <si>
    <t xml:space="preserve">Cart page lists exactly 2 line items</t>
  </si>
  <si>
    <t xml:space="preserve">TC-016</t>
  </si>
  <si>
    <t xml:space="preserve">Verify removing item from cart updates count</t>
  </si>
  <si>
    <t xml:space="preserve">1. Add 2 products
2. Remove 1 from cart page</t>
  </si>
  <si>
    <t xml:space="preserve">Cart shows 1 remaining item; badge updates to '1'</t>
  </si>
  <si>
    <t xml:space="preserve">TC-017</t>
  </si>
  <si>
    <t xml:space="preserve">Verify 'Continue Shopping' returns to Products page</t>
  </si>
  <si>
    <t xml:space="preserve">1. Go to cart
2. Click 'Continue Shopping'</t>
  </si>
  <si>
    <t xml:space="preserve">User is returned to the Products page</t>
  </si>
  <si>
    <t xml:space="preserve">TC-018</t>
  </si>
  <si>
    <t xml:space="preserve">Verify empty cart shows no items and Checkout still accessible</t>
  </si>
  <si>
    <t xml:space="preserve">1. Log in without adding items
2. Go to cart</t>
  </si>
  <si>
    <t xml:space="preserve">Cart page is empty; Checkout button still present</t>
  </si>
  <si>
    <t xml:space="preserve">Edge</t>
  </si>
  <si>
    <t xml:space="preserve">TC-019</t>
  </si>
  <si>
    <t xml:space="preserve">Checkout</t>
  </si>
  <si>
    <t xml:space="preserve">Verify complete checkout flow with valid details</t>
  </si>
  <si>
    <t xml:space="preserve">1. Add product, go to cart
2. Click Checkout
3. Fill valid info
4. Click Finish</t>
  </si>
  <si>
    <t xml:space="preserve">Arhaan / Shaikh / 411001</t>
  </si>
  <si>
    <t xml:space="preserve">Order confirmation 'Thank you for your order!' is displayed</t>
  </si>
  <si>
    <t xml:space="preserve">TC-020</t>
  </si>
  <si>
    <t xml:space="preserve">Verify checkout rejects empty first name</t>
  </si>
  <si>
    <t xml:space="preserve">1. Go to checkout
2. Leave First Name blank
3. Click Continue</t>
  </si>
  <si>
    <t xml:space="preserve">(blank) / Shaikh / 411001</t>
  </si>
  <si>
    <t xml:space="preserve">Error message: 'First Name is required'</t>
  </si>
  <si>
    <t xml:space="preserve">TC-021</t>
  </si>
  <si>
    <t xml:space="preserve">Verify checkout rejects empty postal code</t>
  </si>
  <si>
    <t xml:space="preserve">1. Go to checkout
2. Leave Postal Code blank
3. Click Continue</t>
  </si>
  <si>
    <t xml:space="preserve">Arhaan / Shaikh / (blank)</t>
  </si>
  <si>
    <t xml:space="preserve">Error message: 'Postal Code is required'</t>
  </si>
  <si>
    <t xml:space="preserve">TC-022</t>
  </si>
  <si>
    <t xml:space="preserve">Verify order summary shows subtotal, tax, and total</t>
  </si>
  <si>
    <t xml:space="preserve">1. Reach checkout overview step</t>
  </si>
  <si>
    <t xml:space="preserve">Subtotal, Tax, and Total are all displayed with $ values</t>
  </si>
  <si>
    <t xml:space="preserve">TC-023</t>
  </si>
  <si>
    <t xml:space="preserve">Verify tax is calculated correctly on subtotal</t>
  </si>
  <si>
    <t xml:space="preserve">1. Note subtotal on overview page
2. Verify tax = subtotal * 8%</t>
  </si>
  <si>
    <t xml:space="preserve">Displayed tax matches expected calculation (approx.)</t>
  </si>
  <si>
    <t xml:space="preserve">TC-024</t>
  </si>
  <si>
    <t xml:space="preserve">Verify 'Cancel' on checkout returns to cart/products</t>
  </si>
  <si>
    <t xml:space="preserve">1. Start checkout
2. Click Cancel</t>
  </si>
  <si>
    <t xml:space="preserve">User is returned to Products or Cart page, order not placed</t>
  </si>
  <si>
    <t xml:space="preserve">TC-025</t>
  </si>
  <si>
    <t xml:space="preserve">Verify order cannot be completed with an empty cart</t>
  </si>
  <si>
    <t xml:space="preserve">1. Go to checkout with 0 items in cart</t>
  </si>
  <si>
    <t xml:space="preserve">System should prevent checkout or show 0 items on overview</t>
  </si>
  <si>
    <t xml:space="preserve">Test Execution Summary</t>
  </si>
  <si>
    <t xml:space="preserve">Total Test Cases</t>
  </si>
  <si>
    <t xml:space="preserve">High Priority</t>
  </si>
  <si>
    <t xml:space="preserve">Medium Priority</t>
  </si>
  <si>
    <t xml:space="preserve">Low Priority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</si>
</sst>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B45F06"/>
      <name val="Arial"/>
      <family val="0"/>
      <charset val="1"/>
    </font>
    <font>
      <sz val="10"/>
      <color rgb="FF38761D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8" min="7" style="0" width="10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4" t="s">
        <v>17</v>
      </c>
    </row>
    <row r="3" customFormat="false" ht="23.85" hidden="false" customHeight="false" outlineLevel="0" collapsed="false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3" t="s">
        <v>15</v>
      </c>
      <c r="H3" s="2" t="s">
        <v>23</v>
      </c>
      <c r="I3" s="4" t="s">
        <v>17</v>
      </c>
    </row>
    <row r="4" customFormat="false" ht="23.85" hidden="false" customHeight="false" outlineLevel="0" collapsed="false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3" t="s">
        <v>15</v>
      </c>
      <c r="H4" s="2" t="s">
        <v>23</v>
      </c>
      <c r="I4" s="4" t="s">
        <v>17</v>
      </c>
    </row>
    <row r="5" customFormat="false" ht="23.85" hidden="false" customHeight="false" outlineLevel="0" collapsed="false">
      <c r="A5" s="2" t="s">
        <v>29</v>
      </c>
      <c r="B5" s="2" t="s">
        <v>10</v>
      </c>
      <c r="C5" s="2" t="s">
        <v>30</v>
      </c>
      <c r="D5" s="2" t="s">
        <v>31</v>
      </c>
      <c r="E5" s="2" t="s">
        <v>32</v>
      </c>
      <c r="F5" s="2" t="s">
        <v>33</v>
      </c>
      <c r="G5" s="5" t="s">
        <v>34</v>
      </c>
      <c r="H5" s="2" t="s">
        <v>23</v>
      </c>
      <c r="I5" s="4" t="s">
        <v>17</v>
      </c>
    </row>
    <row r="6" customFormat="false" ht="23.85" hidden="false" customHeight="false" outlineLevel="0" collapsed="false">
      <c r="A6" s="2" t="s">
        <v>35</v>
      </c>
      <c r="B6" s="2" t="s">
        <v>10</v>
      </c>
      <c r="C6" s="2" t="s">
        <v>36</v>
      </c>
      <c r="D6" s="2" t="s">
        <v>37</v>
      </c>
      <c r="E6" s="2" t="s">
        <v>38</v>
      </c>
      <c r="F6" s="2" t="s">
        <v>39</v>
      </c>
      <c r="G6" s="5" t="s">
        <v>34</v>
      </c>
      <c r="H6" s="2" t="s">
        <v>23</v>
      </c>
      <c r="I6" s="4" t="s">
        <v>17</v>
      </c>
    </row>
    <row r="7" customFormat="false" ht="23.85" hidden="false" customHeight="false" outlineLevel="0" collapsed="false">
      <c r="A7" s="2" t="s">
        <v>40</v>
      </c>
      <c r="B7" s="2" t="s">
        <v>10</v>
      </c>
      <c r="C7" s="2" t="s">
        <v>41</v>
      </c>
      <c r="D7" s="2" t="s">
        <v>42</v>
      </c>
      <c r="E7" s="2" t="s">
        <v>43</v>
      </c>
      <c r="F7" s="2" t="s">
        <v>33</v>
      </c>
      <c r="G7" s="6" t="s">
        <v>44</v>
      </c>
      <c r="H7" s="2" t="s">
        <v>23</v>
      </c>
      <c r="I7" s="4" t="s">
        <v>17</v>
      </c>
    </row>
    <row r="8" customFormat="false" ht="23.8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5" t="s">
        <v>34</v>
      </c>
      <c r="H8" s="2" t="s">
        <v>16</v>
      </c>
      <c r="I8" s="4" t="s">
        <v>17</v>
      </c>
    </row>
    <row r="9" customFormat="false" ht="23.85" hidden="false" customHeight="false" outlineLevel="0" collapsed="false">
      <c r="A9" s="2" t="s">
        <v>51</v>
      </c>
      <c r="B9" s="2" t="s">
        <v>46</v>
      </c>
      <c r="C9" s="2" t="s">
        <v>52</v>
      </c>
      <c r="D9" s="2" t="s">
        <v>53</v>
      </c>
      <c r="E9" s="2" t="s">
        <v>54</v>
      </c>
      <c r="F9" s="2" t="s">
        <v>55</v>
      </c>
      <c r="G9" s="3" t="s">
        <v>15</v>
      </c>
      <c r="H9" s="2" t="s">
        <v>16</v>
      </c>
      <c r="I9" s="4" t="s">
        <v>17</v>
      </c>
    </row>
    <row r="10" customFormat="false" ht="23.85" hidden="false" customHeight="false" outlineLevel="0" collapsed="false">
      <c r="A10" s="2" t="s">
        <v>56</v>
      </c>
      <c r="B10" s="2" t="s">
        <v>46</v>
      </c>
      <c r="C10" s="2" t="s">
        <v>57</v>
      </c>
      <c r="D10" s="2" t="s">
        <v>58</v>
      </c>
      <c r="E10" s="2" t="s">
        <v>59</v>
      </c>
      <c r="F10" s="2" t="s">
        <v>60</v>
      </c>
      <c r="G10" s="3" t="s">
        <v>15</v>
      </c>
      <c r="H10" s="2" t="s">
        <v>16</v>
      </c>
      <c r="I10" s="4" t="s">
        <v>17</v>
      </c>
    </row>
    <row r="11" customFormat="false" ht="23.85" hidden="false" customHeight="false" outlineLevel="0" collapsed="false">
      <c r="A11" s="2" t="s">
        <v>61</v>
      </c>
      <c r="B11" s="2" t="s">
        <v>46</v>
      </c>
      <c r="C11" s="2" t="s">
        <v>62</v>
      </c>
      <c r="D11" s="2" t="s">
        <v>63</v>
      </c>
      <c r="E11" s="2" t="s">
        <v>64</v>
      </c>
      <c r="F11" s="2" t="s">
        <v>65</v>
      </c>
      <c r="G11" s="5" t="s">
        <v>34</v>
      </c>
      <c r="H11" s="2" t="s">
        <v>16</v>
      </c>
      <c r="I11" s="4" t="s">
        <v>17</v>
      </c>
    </row>
    <row r="12" customFormat="false" ht="23.85" hidden="false" customHeight="false" outlineLevel="0" collapsed="false">
      <c r="A12" s="2" t="s">
        <v>66</v>
      </c>
      <c r="B12" s="2" t="s">
        <v>46</v>
      </c>
      <c r="C12" s="2" t="s">
        <v>67</v>
      </c>
      <c r="D12" s="2" t="s">
        <v>68</v>
      </c>
      <c r="E12" s="2" t="s">
        <v>64</v>
      </c>
      <c r="F12" s="2" t="s">
        <v>69</v>
      </c>
      <c r="G12" s="5" t="s">
        <v>34</v>
      </c>
      <c r="H12" s="2" t="s">
        <v>16</v>
      </c>
      <c r="I12" s="4" t="s">
        <v>17</v>
      </c>
    </row>
    <row r="13" customFormat="false" ht="35.05" hidden="false" customHeight="false" outlineLevel="0" collapsed="false">
      <c r="A13" s="2" t="s">
        <v>70</v>
      </c>
      <c r="B13" s="2" t="s">
        <v>46</v>
      </c>
      <c r="C13" s="2" t="s">
        <v>71</v>
      </c>
      <c r="D13" s="2" t="s">
        <v>72</v>
      </c>
      <c r="E13" s="2" t="s">
        <v>64</v>
      </c>
      <c r="F13" s="2" t="s">
        <v>73</v>
      </c>
      <c r="G13" s="6" t="s">
        <v>44</v>
      </c>
      <c r="H13" s="2" t="s">
        <v>16</v>
      </c>
      <c r="I13" s="4" t="s">
        <v>17</v>
      </c>
    </row>
    <row r="14" customFormat="false" ht="23.85" hidden="false" customHeight="false" outlineLevel="0" collapsed="false">
      <c r="A14" s="2" t="s">
        <v>74</v>
      </c>
      <c r="B14" s="2" t="s">
        <v>46</v>
      </c>
      <c r="C14" s="2" t="s">
        <v>75</v>
      </c>
      <c r="D14" s="2" t="s">
        <v>76</v>
      </c>
      <c r="E14" s="2" t="s">
        <v>64</v>
      </c>
      <c r="F14" s="2" t="s">
        <v>77</v>
      </c>
      <c r="G14" s="6" t="s">
        <v>44</v>
      </c>
      <c r="H14" s="2" t="s">
        <v>16</v>
      </c>
      <c r="I14" s="7" t="s">
        <v>78</v>
      </c>
    </row>
    <row r="15" customFormat="false" ht="23.85" hidden="false" customHeight="false" outlineLevel="0" collapsed="false">
      <c r="A15" s="2" t="s">
        <v>79</v>
      </c>
      <c r="B15" s="2" t="s">
        <v>46</v>
      </c>
      <c r="C15" s="2" t="s">
        <v>80</v>
      </c>
      <c r="D15" s="2" t="s">
        <v>81</v>
      </c>
      <c r="E15" s="2" t="s">
        <v>64</v>
      </c>
      <c r="F15" s="2" t="s">
        <v>82</v>
      </c>
      <c r="G15" s="5" t="s">
        <v>34</v>
      </c>
      <c r="H15" s="2" t="s">
        <v>16</v>
      </c>
      <c r="I15" s="7" t="s">
        <v>78</v>
      </c>
    </row>
    <row r="16" customFormat="false" ht="23.85" hidden="false" customHeight="false" outlineLevel="0" collapsed="false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  <c r="G16" s="3" t="s">
        <v>15</v>
      </c>
      <c r="H16" s="2" t="s">
        <v>16</v>
      </c>
      <c r="I16" s="7" t="s">
        <v>78</v>
      </c>
    </row>
    <row r="17" customFormat="false" ht="23.85" hidden="false" customHeight="false" outlineLevel="0" collapsed="false">
      <c r="A17" s="2" t="s">
        <v>89</v>
      </c>
      <c r="B17" s="2" t="s">
        <v>84</v>
      </c>
      <c r="C17" s="2" t="s">
        <v>90</v>
      </c>
      <c r="D17" s="2" t="s">
        <v>91</v>
      </c>
      <c r="E17" s="2" t="s">
        <v>64</v>
      </c>
      <c r="F17" s="2" t="s">
        <v>92</v>
      </c>
      <c r="G17" s="5" t="s">
        <v>34</v>
      </c>
      <c r="H17" s="2" t="s">
        <v>16</v>
      </c>
      <c r="I17" s="7" t="s">
        <v>78</v>
      </c>
    </row>
    <row r="18" customFormat="false" ht="23.85" hidden="false" customHeight="false" outlineLevel="0" collapsed="false">
      <c r="A18" s="2" t="s">
        <v>93</v>
      </c>
      <c r="B18" s="2" t="s">
        <v>84</v>
      </c>
      <c r="C18" s="2" t="s">
        <v>94</v>
      </c>
      <c r="D18" s="2" t="s">
        <v>95</v>
      </c>
      <c r="E18" s="2" t="s">
        <v>64</v>
      </c>
      <c r="F18" s="2" t="s">
        <v>96</v>
      </c>
      <c r="G18" s="6" t="s">
        <v>44</v>
      </c>
      <c r="H18" s="2" t="s">
        <v>16</v>
      </c>
      <c r="I18" s="7" t="s">
        <v>78</v>
      </c>
    </row>
    <row r="19" customFormat="false" ht="23.85" hidden="false" customHeight="false" outlineLevel="0" collapsed="false">
      <c r="A19" s="2" t="s">
        <v>97</v>
      </c>
      <c r="B19" s="2" t="s">
        <v>84</v>
      </c>
      <c r="C19" s="2" t="s">
        <v>98</v>
      </c>
      <c r="D19" s="2" t="s">
        <v>99</v>
      </c>
      <c r="E19" s="2" t="s">
        <v>64</v>
      </c>
      <c r="F19" s="2" t="s">
        <v>100</v>
      </c>
      <c r="G19" s="6" t="s">
        <v>44</v>
      </c>
      <c r="H19" s="2" t="s">
        <v>101</v>
      </c>
      <c r="I19" s="7" t="s">
        <v>78</v>
      </c>
    </row>
    <row r="20" customFormat="false" ht="46.25" hidden="false" customHeight="false" outlineLevel="0" collapsed="false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107</v>
      </c>
      <c r="G20" s="3" t="s">
        <v>15</v>
      </c>
      <c r="H20" s="2" t="s">
        <v>16</v>
      </c>
      <c r="I20" s="4" t="s">
        <v>17</v>
      </c>
    </row>
    <row r="21" customFormat="false" ht="35.05" hidden="false" customHeight="false" outlineLevel="0" collapsed="false">
      <c r="A21" s="2" t="s">
        <v>108</v>
      </c>
      <c r="B21" s="2" t="s">
        <v>103</v>
      </c>
      <c r="C21" s="2" t="s">
        <v>109</v>
      </c>
      <c r="D21" s="2" t="s">
        <v>110</v>
      </c>
      <c r="E21" s="2" t="s">
        <v>111</v>
      </c>
      <c r="F21" s="2" t="s">
        <v>112</v>
      </c>
      <c r="G21" s="3" t="s">
        <v>15</v>
      </c>
      <c r="H21" s="2" t="s">
        <v>23</v>
      </c>
      <c r="I21" s="4" t="s">
        <v>17</v>
      </c>
    </row>
    <row r="22" customFormat="false" ht="35.05" hidden="false" customHeight="false" outlineLevel="0" collapsed="false">
      <c r="A22" s="2" t="s">
        <v>113</v>
      </c>
      <c r="B22" s="2" t="s">
        <v>103</v>
      </c>
      <c r="C22" s="2" t="s">
        <v>114</v>
      </c>
      <c r="D22" s="2" t="s">
        <v>115</v>
      </c>
      <c r="E22" s="2" t="s">
        <v>116</v>
      </c>
      <c r="F22" s="2" t="s">
        <v>117</v>
      </c>
      <c r="G22" s="5" t="s">
        <v>34</v>
      </c>
      <c r="H22" s="2" t="s">
        <v>23</v>
      </c>
      <c r="I22" s="4" t="s">
        <v>17</v>
      </c>
    </row>
    <row r="23" customFormat="false" ht="23.85" hidden="false" customHeight="false" outlineLevel="0" collapsed="false">
      <c r="A23" s="2" t="s">
        <v>118</v>
      </c>
      <c r="B23" s="2" t="s">
        <v>103</v>
      </c>
      <c r="C23" s="2" t="s">
        <v>119</v>
      </c>
      <c r="D23" s="2" t="s">
        <v>120</v>
      </c>
      <c r="E23" s="2" t="s">
        <v>64</v>
      </c>
      <c r="F23" s="2" t="s">
        <v>121</v>
      </c>
      <c r="G23" s="5" t="s">
        <v>34</v>
      </c>
      <c r="H23" s="2" t="s">
        <v>16</v>
      </c>
      <c r="I23" s="4" t="s">
        <v>17</v>
      </c>
    </row>
    <row r="24" customFormat="false" ht="23.85" hidden="false" customHeight="false" outlineLevel="0" collapsed="false">
      <c r="A24" s="2" t="s">
        <v>122</v>
      </c>
      <c r="B24" s="2" t="s">
        <v>103</v>
      </c>
      <c r="C24" s="2" t="s">
        <v>123</v>
      </c>
      <c r="D24" s="2" t="s">
        <v>124</v>
      </c>
      <c r="E24" s="2" t="s">
        <v>64</v>
      </c>
      <c r="F24" s="2" t="s">
        <v>125</v>
      </c>
      <c r="G24" s="5" t="s">
        <v>34</v>
      </c>
      <c r="H24" s="2" t="s">
        <v>16</v>
      </c>
      <c r="I24" s="7" t="s">
        <v>78</v>
      </c>
    </row>
    <row r="25" customFormat="false" ht="23.85" hidden="false" customHeight="false" outlineLevel="0" collapsed="false">
      <c r="A25" s="2" t="s">
        <v>126</v>
      </c>
      <c r="B25" s="2" t="s">
        <v>103</v>
      </c>
      <c r="C25" s="2" t="s">
        <v>127</v>
      </c>
      <c r="D25" s="2" t="s">
        <v>128</v>
      </c>
      <c r="E25" s="2" t="s">
        <v>64</v>
      </c>
      <c r="F25" s="2" t="s">
        <v>129</v>
      </c>
      <c r="G25" s="6" t="s">
        <v>44</v>
      </c>
      <c r="H25" s="2" t="s">
        <v>101</v>
      </c>
      <c r="I25" s="7" t="s">
        <v>78</v>
      </c>
    </row>
    <row r="26" customFormat="false" ht="23.85" hidden="false" customHeight="false" outlineLevel="0" collapsed="false">
      <c r="A26" s="2" t="s">
        <v>130</v>
      </c>
      <c r="B26" s="2" t="s">
        <v>103</v>
      </c>
      <c r="C26" s="2" t="s">
        <v>131</v>
      </c>
      <c r="D26" s="2" t="s">
        <v>132</v>
      </c>
      <c r="E26" s="2" t="s">
        <v>64</v>
      </c>
      <c r="F26" s="2" t="s">
        <v>133</v>
      </c>
      <c r="G26" s="5" t="s">
        <v>34</v>
      </c>
      <c r="H26" s="2" t="s">
        <v>101</v>
      </c>
      <c r="I26" s="7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8" t="s">
        <v>134</v>
      </c>
    </row>
    <row r="3" customFormat="false" ht="15" hidden="false" customHeight="false" outlineLevel="0" collapsed="false">
      <c r="A3" s="9" t="s">
        <v>135</v>
      </c>
      <c r="B3" s="10" t="n">
        <f aca="false">COUNTA('Test Cases'!A2:A26)</f>
        <v>25</v>
      </c>
    </row>
    <row r="4" customFormat="false" ht="15" hidden="false" customHeight="false" outlineLevel="0" collapsed="false">
      <c r="A4" s="9" t="s">
        <v>17</v>
      </c>
      <c r="B4" s="10" t="n">
        <f aca="false">COUNTIF('Test Cases'!I2:I26,"Automated")</f>
        <v>16</v>
      </c>
    </row>
    <row r="5" customFormat="false" ht="15" hidden="false" customHeight="false" outlineLevel="0" collapsed="false">
      <c r="A5" s="9" t="s">
        <v>78</v>
      </c>
      <c r="B5" s="10" t="n">
        <f aca="false">COUNTIF('Test Cases'!I2:I26,"Manual")</f>
        <v>9</v>
      </c>
    </row>
    <row r="6" customFormat="false" ht="15" hidden="false" customHeight="false" outlineLevel="0" collapsed="false">
      <c r="A6" s="9" t="s">
        <v>136</v>
      </c>
      <c r="B6" s="10" t="n">
        <f aca="false">COUNTIF('Test Cases'!G2:G26,"High")</f>
        <v>8</v>
      </c>
    </row>
    <row r="7" customFormat="false" ht="15" hidden="false" customHeight="false" outlineLevel="0" collapsed="false">
      <c r="A7" s="9" t="s">
        <v>137</v>
      </c>
      <c r="B7" s="10" t="n">
        <f aca="false">COUNTIF('Test Cases'!G2:G26,"Medium")</f>
        <v>11</v>
      </c>
    </row>
    <row r="8" customFormat="false" ht="15" hidden="false" customHeight="false" outlineLevel="0" collapsed="false">
      <c r="A8" s="9" t="s">
        <v>138</v>
      </c>
      <c r="B8" s="10" t="n">
        <f aca="false">COUNTIF('Test Cases'!G2:G26,"Low")</f>
        <v>6</v>
      </c>
    </row>
    <row r="9" customFormat="false" ht="15" hidden="false" customHeight="false" outlineLevel="0" collapsed="false">
      <c r="A9" s="9" t="s">
        <v>16</v>
      </c>
      <c r="B9" s="10" t="n">
        <f aca="false">COUNTIF('Test Cases'!H2:H26,"Positive")</f>
        <v>15</v>
      </c>
    </row>
    <row r="10" customFormat="false" ht="15" hidden="false" customHeight="false" outlineLevel="0" collapsed="false">
      <c r="A10" s="9" t="s">
        <v>23</v>
      </c>
      <c r="B10" s="10" t="n">
        <f aca="false">COUNTIF('Test Cases'!H2:H26,"Negative")</f>
        <v>7</v>
      </c>
    </row>
    <row r="11" customFormat="false" ht="15" hidden="false" customHeight="false" outlineLevel="0" collapsed="false">
      <c r="A11" s="9" t="s">
        <v>101</v>
      </c>
      <c r="B11" s="10" t="n">
        <f aca="false">COUNTIF('Test Cases'!H2:H26,"Edge")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2026-09-17T18:22:04Z</dcterms:created>
  <dc:creator>openpyxl</dc:creator>
  <dc:description/>
  <dc:language>en-US</dc:language>
  <cp:lastModifiedBy/>
  <dcterms:modified xsi:type="dcterms:W3CDTF">2026-09-17T18:22:04Z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